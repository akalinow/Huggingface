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-kon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<sst xmlns="http://schemas.openxmlformats.org/spreadsheetml/2006/main" count="249" uniqueCount="123">
  <si>
    <t xml:space="preserve">Konto KG</t>
  </si>
  <si>
    <t xml:space="preserve">Opis SAP</t>
  </si>
  <si>
    <t xml:space="preserve">NCN Kategoria I</t>
  </si>
  <si>
    <t xml:space="preserve">NCN Kategoria II</t>
  </si>
  <si>
    <t xml:space="preserve">NCN Kategoria III</t>
  </si>
  <si>
    <t xml:space="preserve">materiały</t>
  </si>
  <si>
    <t xml:space="preserve">Inne Koszty Bezpośrednie</t>
  </si>
  <si>
    <t xml:space="preserve">Koszty Bezpośrednie</t>
  </si>
  <si>
    <t xml:space="preserve">paliwo do pojazdów</t>
  </si>
  <si>
    <t xml:space="preserve">energia elektryczna</t>
  </si>
  <si>
    <t xml:space="preserve">energia cieplna</t>
  </si>
  <si>
    <t xml:space="preserve">książki i czasopisma do zaczytania</t>
  </si>
  <si>
    <t xml:space="preserve">woda</t>
  </si>
  <si>
    <t xml:space="preserve">opał</t>
  </si>
  <si>
    <t xml:space="preserve">koszty zakupu WNiP poniżej 3500</t>
  </si>
  <si>
    <t xml:space="preserve">gaz</t>
  </si>
  <si>
    <t xml:space="preserve">materiały ekspolatacyjne związane z użytk. bud</t>
  </si>
  <si>
    <t xml:space="preserve">koszt zakupu skł maj. niskocennych</t>
  </si>
  <si>
    <t xml:space="preserve">środki higieniczne niezw. z ekspl budynku</t>
  </si>
  <si>
    <t xml:space="preserve">środki czyst. związane z ekpl. budynku</t>
  </si>
  <si>
    <t xml:space="preserve">Eksponaty muzealne</t>
  </si>
  <si>
    <t xml:space="preserve">usługi transportowe</t>
  </si>
  <si>
    <t xml:space="preserve">usługi pocztowe</t>
  </si>
  <si>
    <t xml:space="preserve">usługi kominiarskie</t>
  </si>
  <si>
    <t xml:space="preserve">usług porządkowe ochrona mienia</t>
  </si>
  <si>
    <t xml:space="preserve">usługi poligraficzne i introligatorskie</t>
  </si>
  <si>
    <t xml:space="preserve">usługi informatyczne</t>
  </si>
  <si>
    <t xml:space="preserve">naprawy i konserwacja drobnego sprzętu</t>
  </si>
  <si>
    <t xml:space="preserve">remonty środków trwałych</t>
  </si>
  <si>
    <t xml:space="preserve">remonty budynków i budowli</t>
  </si>
  <si>
    <t xml:space="preserve">czynsz za dzierżawę pomieszczeń</t>
  </si>
  <si>
    <t xml:space="preserve">remonty bieżące pomieszczeń</t>
  </si>
  <si>
    <t xml:space="preserve">ogłoszenia</t>
  </si>
  <si>
    <t xml:space="preserve">usługi badawcze</t>
  </si>
  <si>
    <t xml:space="preserve">usługi bankowe</t>
  </si>
  <si>
    <t xml:space="preserve">opłaty pocztowe-maszyna do frankowania</t>
  </si>
  <si>
    <t xml:space="preserve">usługi dydaktyczne i tłumaczenia</t>
  </si>
  <si>
    <t xml:space="preserve">opłąty telekomunikacyjne-tel stacj.</t>
  </si>
  <si>
    <t xml:space="preserve">opłąty telekomunikacyjne-tel komórk.</t>
  </si>
  <si>
    <t xml:space="preserve">pozostałe usł</t>
  </si>
  <si>
    <t xml:space="preserve">dzierżawa łączy (np.. NASK)</t>
  </si>
  <si>
    <t xml:space="preserve">usł. jedn. współrealizujących</t>
  </si>
  <si>
    <t xml:space="preserve">koserw. Inst. elektr. sanitarnej i przeciwpoż</t>
  </si>
  <si>
    <t xml:space="preserve">konserwacje węzłów cieplnych</t>
  </si>
  <si>
    <t xml:space="preserve">konserwacja wentylacji</t>
  </si>
  <si>
    <t xml:space="preserve">pozstałe przeglądy i konserwacje bud. dozór techn.</t>
  </si>
  <si>
    <t xml:space="preserve">pranie dezynsekcja i deratyzacja</t>
  </si>
  <si>
    <t xml:space="preserve">podatek od środków transportu</t>
  </si>
  <si>
    <t xml:space="preserve">podatek od nieruchomości</t>
  </si>
  <si>
    <t xml:space="preserve">inne podatki (z wyj. dochodowego)</t>
  </si>
  <si>
    <t xml:space="preserve">opłaty skarbowe i inne urzędowe</t>
  </si>
  <si>
    <t xml:space="preserve">opłaty sądowe i inne notarialne</t>
  </si>
  <si>
    <t xml:space="preserve">opłaty za dostęp do baz danych</t>
  </si>
  <si>
    <t xml:space="preserve">opłaty za wywóz nieczystości</t>
  </si>
  <si>
    <t xml:space="preserve">opłaty za użytkowanie wieczyste gruntów</t>
  </si>
  <si>
    <t xml:space="preserve">osobowy fundusz płac</t>
  </si>
  <si>
    <t xml:space="preserve">Wynagrodzenia</t>
  </si>
  <si>
    <t xml:space="preserve">Nagroda ministra</t>
  </si>
  <si>
    <t xml:space="preserve">bezosobowy fundusz płac</t>
  </si>
  <si>
    <t xml:space="preserve">honoraria</t>
  </si>
  <si>
    <t xml:space="preserve">dodoatkowe wyn roczne  trzynastka</t>
  </si>
  <si>
    <t xml:space="preserve">osobowy fundusz płac-składki na ubezp. społ obcokr</t>
  </si>
  <si>
    <t xml:space="preserve">odpis na własny fund. styp.</t>
  </si>
  <si>
    <t xml:space="preserve">odpisy na ZFŚS</t>
  </si>
  <si>
    <t xml:space="preserve">świadczenia rzeczowe związane z BHP</t>
  </si>
  <si>
    <t xml:space="preserve">odzież ochronna i robocza</t>
  </si>
  <si>
    <t xml:space="preserve">szkolenie pracowników przez obce jednostki</t>
  </si>
  <si>
    <t xml:space="preserve">ubezbieczenia osobowe pracowników</t>
  </si>
  <si>
    <t xml:space="preserve">inne świadczenia na rzecz prac.</t>
  </si>
  <si>
    <t xml:space="preserve">osobowy fund. płac - ZUS ubezp. emerytalne</t>
  </si>
  <si>
    <t xml:space="preserve">osobowy fund. płac - ZUS ubezp. rentowe</t>
  </si>
  <si>
    <t xml:space="preserve">osobowy fund. płac - ZUS ubezp. wypadkowe</t>
  </si>
  <si>
    <t xml:space="preserve">osobowy fund. płac - ZUS fundusz pracy</t>
  </si>
  <si>
    <t xml:space="preserve">bezosobowy fund. płac - ZUS ubezp. emerytalne</t>
  </si>
  <si>
    <t xml:space="preserve">bezosobowy fund. płac - ZUS ubezp. rentowe</t>
  </si>
  <si>
    <t xml:space="preserve">bezosobowy fund. płac - ZUS ubezp. wypadkowe</t>
  </si>
  <si>
    <t xml:space="preserve">bezosobowy fund. płac - ZUS fundusz pracy</t>
  </si>
  <si>
    <t xml:space="preserve">BFP -kosztyPPK-prac</t>
  </si>
  <si>
    <t xml:space="preserve">OFP -koszty PPK</t>
  </si>
  <si>
    <t xml:space="preserve">BFP -koszty PPK-OZ</t>
  </si>
  <si>
    <t xml:space="preserve">amortyzacja środków trw.</t>
  </si>
  <si>
    <t xml:space="preserve">amortyzacja zbiorów bibl.</t>
  </si>
  <si>
    <t xml:space="preserve">amortyzacja WNiP</t>
  </si>
  <si>
    <t xml:space="preserve">Obce śr trwałe w użytkowaniu uczelni</t>
  </si>
  <si>
    <t xml:space="preserve">krajowe podróże służbowe</t>
  </si>
  <si>
    <t xml:space="preserve">Podróże służbowe</t>
  </si>
  <si>
    <t xml:space="preserve">zagr. podróże służbowe</t>
  </si>
  <si>
    <t xml:space="preserve">bilety kom. miejskiej</t>
  </si>
  <si>
    <t xml:space="preserve">koszty przen. pracownika zw. z zagosp./wynaj.kwat</t>
  </si>
  <si>
    <t xml:space="preserve">koszty obsł. del. zagr.</t>
  </si>
  <si>
    <t xml:space="preserve">ubezp. majątk.</t>
  </si>
  <si>
    <t xml:space="preserve">koszty reprez.</t>
  </si>
  <si>
    <t xml:space="preserve">stypendia dla pracowników</t>
  </si>
  <si>
    <t xml:space="preserve">stypendia dla doktorantów krajowych</t>
  </si>
  <si>
    <t xml:space="preserve">stypendia dla studentów zagr. oraz ekw. za wyżywie</t>
  </si>
  <si>
    <t xml:space="preserve">odprawy pośmiertne</t>
  </si>
  <si>
    <t xml:space="preserve">koszty praktyk studenckich</t>
  </si>
  <si>
    <t xml:space="preserve">koszty konferencji i seminariów</t>
  </si>
  <si>
    <t xml:space="preserve">stypendia dla doktorantów zagranicznych</t>
  </si>
  <si>
    <t xml:space="preserve">stypendia dla doktorantów cudzoziemców</t>
  </si>
  <si>
    <t xml:space="preserve">stypendia - programy ramowe UE, fund. strukt.</t>
  </si>
  <si>
    <t xml:space="preserve">stypendia w ramach programy Erasmus</t>
  </si>
  <si>
    <t xml:space="preserve">inne koszty pozostałe</t>
  </si>
  <si>
    <t xml:space="preserve">stypendia dla asystentów-staż. krajowych</t>
  </si>
  <si>
    <t xml:space="preserve">stypendia dla asystentów cudzoz.-stypend. UW</t>
  </si>
  <si>
    <t xml:space="preserve">stypendia doktoranckie finansowane z projektów</t>
  </si>
  <si>
    <t xml:space="preserve">inne koszty refundowane dla cudzoziemców</t>
  </si>
  <si>
    <t xml:space="preserve">koszty reklamy</t>
  </si>
  <si>
    <t xml:space="preserve">stypendia dla młodych dokt. fin. z projektów</t>
  </si>
  <si>
    <t xml:space="preserve">stypendia doktor. finansowane z dot. projakoś</t>
  </si>
  <si>
    <t xml:space="preserve">koszty nab. aparatury specj.zalicz do ŚT</t>
  </si>
  <si>
    <t xml:space="preserve">Aparatura</t>
  </si>
  <si>
    <t xml:space="preserve">koszty nab. Aparat. specj.zalicz do ŚT nisk. war</t>
  </si>
  <si>
    <t xml:space="preserve">koszty nab. WNIP w dział bad o wart pow. 3500</t>
  </si>
  <si>
    <t xml:space="preserve">koszty nab. WNIP w dział bad o wart pon. 3500</t>
  </si>
  <si>
    <t xml:space="preserve">koszty nabycia eksp. muzealnych</t>
  </si>
  <si>
    <t xml:space="preserve">Koszty świadczeń wewn.</t>
  </si>
  <si>
    <t xml:space="preserve">Rozliczenie kosztów</t>
  </si>
  <si>
    <t xml:space="preserve">Rozliczenie projektów</t>
  </si>
  <si>
    <t xml:space="preserve">Uzgodnienie księgowań  pomiędzy  DG</t>
  </si>
  <si>
    <t xml:space="preserve">Narzutów kosztów wydziałowych</t>
  </si>
  <si>
    <t xml:space="preserve">Koszty pośrednie</t>
  </si>
  <si>
    <t xml:space="preserve">Narzutów kosztów ogólnouczelnianych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</si>
</sst>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38"/>
    </font>
    <font>
      <sz val="10"/>
      <name val="Arial"/>
      <family val="2"/>
      <charset val="238"/>
    </font>
    <font>
      <b val="true"/>
      <sz val="10"/>
      <name val="Arial"/>
      <family val="2"/>
      <charset val="1"/>
    </font>
    <font>
      <b val="true"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2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ategoria tabeli przestawnej" xfId="20"/>
    <cellStyle name="Narożnik tabeli przestawnej" xfId="21"/>
    <cellStyle name="Normal 2" xfId="22"/>
    <cellStyle name="Normalny 2" xfId="23"/>
    <cellStyle name="Pole tabeli przestawnej" xfId="24"/>
    <cellStyle name="Tytuł tabeli przestawnej" xfId="25"/>
    <cellStyle name="Wartość tabeli przestawnej" xfId="26"/>
    <cellStyle name="Wynik tabeli przestawnej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8242187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5.63"/>
    <col collapsed="false" customWidth="true" hidden="false" outlineLevel="0" max="3" min="3" style="1" width="40.62"/>
    <col collapsed="false" customWidth="true" hidden="false" outlineLevel="0" max="4" min="4" style="1" width="24.2"/>
    <col collapsed="false" customWidth="true" hidden="false" outlineLevel="0" max="5" min="5" style="1" width="23.09"/>
    <col collapsed="false" customWidth="false" hidden="false" outlineLevel="0" max="16384" min="6" style="1" width="8.82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4" t="n">
        <v>4010010000</v>
      </c>
      <c r="B2" s="4" t="s">
        <v>5</v>
      </c>
      <c r="C2" s="5" t="str">
        <f aca="false">B2</f>
        <v>materiały</v>
      </c>
      <c r="D2" s="5" t="s">
        <v>6</v>
      </c>
      <c r="E2" s="5" t="s">
        <v>7</v>
      </c>
    </row>
    <row r="3" customFormat="false" ht="14.25" hidden="false" customHeight="false" outlineLevel="0" collapsed="false">
      <c r="A3" s="4" t="n">
        <v>4010020000</v>
      </c>
      <c r="B3" s="4" t="s">
        <v>8</v>
      </c>
      <c r="C3" s="5" t="str">
        <f aca="false">B3</f>
        <v>paliwo do pojazdów</v>
      </c>
      <c r="D3" s="6"/>
      <c r="E3" s="6"/>
    </row>
    <row r="4" customFormat="false" ht="14.25" hidden="false" customHeight="false" outlineLevel="0" collapsed="false">
      <c r="A4" s="4" t="n">
        <v>4010030000</v>
      </c>
      <c r="B4" s="4" t="s">
        <v>9</v>
      </c>
      <c r="C4" s="5" t="str">
        <f aca="false">B4</f>
        <v>energia elektryczna</v>
      </c>
      <c r="D4" s="6"/>
      <c r="E4" s="6"/>
    </row>
    <row r="5" customFormat="false" ht="14.25" hidden="false" customHeight="false" outlineLevel="0" collapsed="false">
      <c r="A5" s="4" t="n">
        <v>4010040000</v>
      </c>
      <c r="B5" s="4" t="s">
        <v>10</v>
      </c>
      <c r="C5" s="5" t="str">
        <f aca="false">B5</f>
        <v>energia cieplna</v>
      </c>
      <c r="D5" s="6"/>
      <c r="E5" s="6"/>
    </row>
    <row r="6" customFormat="false" ht="14.25" hidden="false" customHeight="false" outlineLevel="0" collapsed="false">
      <c r="A6" s="4" t="n">
        <v>4010050000</v>
      </c>
      <c r="B6" s="4" t="s">
        <v>11</v>
      </c>
      <c r="C6" s="5" t="str">
        <f aca="false">B6</f>
        <v>książki i czasopisma do zaczytania</v>
      </c>
      <c r="D6" s="6"/>
      <c r="E6" s="6"/>
    </row>
    <row r="7" customFormat="false" ht="14.25" hidden="false" customHeight="false" outlineLevel="0" collapsed="false">
      <c r="A7" s="4" t="n">
        <v>4010070000</v>
      </c>
      <c r="B7" s="4" t="s">
        <v>12</v>
      </c>
      <c r="C7" s="5" t="str">
        <f aca="false">B7</f>
        <v>woda</v>
      </c>
      <c r="D7" s="6"/>
      <c r="E7" s="6"/>
    </row>
    <row r="8" customFormat="false" ht="14.25" hidden="false" customHeight="false" outlineLevel="0" collapsed="false">
      <c r="A8" s="4" t="n">
        <v>4010080000</v>
      </c>
      <c r="B8" s="4" t="s">
        <v>13</v>
      </c>
      <c r="C8" s="5" t="str">
        <f aca="false">B8</f>
        <v>opał</v>
      </c>
      <c r="D8" s="6"/>
      <c r="E8" s="6"/>
    </row>
    <row r="9" customFormat="false" ht="14.25" hidden="false" customHeight="false" outlineLevel="0" collapsed="false">
      <c r="A9" s="4" t="n">
        <v>4010090000</v>
      </c>
      <c r="B9" s="4" t="s">
        <v>14</v>
      </c>
      <c r="C9" s="5" t="str">
        <f aca="false">B9</f>
        <v>koszty zakupu WNiP poniżej 3500</v>
      </c>
      <c r="D9" s="6"/>
      <c r="E9" s="6"/>
    </row>
    <row r="10" customFormat="false" ht="14.25" hidden="false" customHeight="false" outlineLevel="0" collapsed="false">
      <c r="A10" s="4" t="n">
        <v>4010100000</v>
      </c>
      <c r="B10" s="4" t="s">
        <v>15</v>
      </c>
      <c r="C10" s="5" t="str">
        <f aca="false">B10</f>
        <v>gaz</v>
      </c>
      <c r="D10" s="6"/>
      <c r="E10" s="6"/>
    </row>
    <row r="11" customFormat="false" ht="14.25" hidden="false" customHeight="false" outlineLevel="0" collapsed="false">
      <c r="A11" s="4" t="n">
        <v>4010110000</v>
      </c>
      <c r="B11" s="4" t="s">
        <v>16</v>
      </c>
      <c r="C11" s="5" t="str">
        <f aca="false">B11</f>
        <v>materiały ekspolatacyjne związane z użytk. bud</v>
      </c>
      <c r="D11" s="6"/>
      <c r="E11" s="6"/>
    </row>
    <row r="12" customFormat="false" ht="14.25" hidden="false" customHeight="false" outlineLevel="0" collapsed="false">
      <c r="A12" s="4" t="n">
        <v>4010120000</v>
      </c>
      <c r="B12" s="4" t="s">
        <v>17</v>
      </c>
      <c r="C12" s="5" t="str">
        <f aca="false">B12</f>
        <v>koszt zakupu skł maj. niskocennych</v>
      </c>
      <c r="D12" s="6"/>
      <c r="E12" s="6"/>
    </row>
    <row r="13" customFormat="false" ht="14.25" hidden="false" customHeight="false" outlineLevel="0" collapsed="false">
      <c r="A13" s="4" t="n">
        <v>4010130000</v>
      </c>
      <c r="B13" s="4" t="s">
        <v>18</v>
      </c>
      <c r="C13" s="5" t="str">
        <f aca="false">B13</f>
        <v>środki higieniczne niezw. z ekspl budynku</v>
      </c>
      <c r="D13" s="6" t="s">
        <v>6</v>
      </c>
      <c r="E13" s="6" t="s">
        <v>7</v>
      </c>
    </row>
    <row r="14" customFormat="false" ht="14.25" hidden="false" customHeight="false" outlineLevel="0" collapsed="false">
      <c r="A14" s="4" t="n">
        <v>4010140000</v>
      </c>
      <c r="B14" s="4" t="s">
        <v>19</v>
      </c>
      <c r="C14" s="5" t="str">
        <f aca="false">B14</f>
        <v>środki czyst. związane z ekpl. budynku</v>
      </c>
      <c r="D14" s="6" t="s">
        <v>6</v>
      </c>
      <c r="E14" s="6" t="s">
        <v>7</v>
      </c>
    </row>
    <row r="15" customFormat="false" ht="14.25" hidden="false" customHeight="false" outlineLevel="0" collapsed="false">
      <c r="A15" s="4" t="n">
        <v>4010150000</v>
      </c>
      <c r="B15" s="4" t="s">
        <v>20</v>
      </c>
      <c r="C15" s="5" t="str">
        <f aca="false">B15</f>
        <v>Eksponaty muzealne</v>
      </c>
      <c r="D15" s="6"/>
      <c r="E15" s="6"/>
    </row>
    <row r="16" customFormat="false" ht="14.25" hidden="false" customHeight="false" outlineLevel="0" collapsed="false">
      <c r="A16" s="4" t="n">
        <v>4020010000</v>
      </c>
      <c r="B16" s="4" t="s">
        <v>21</v>
      </c>
      <c r="C16" s="5" t="str">
        <f aca="false">B16</f>
        <v>usługi transportowe</v>
      </c>
      <c r="D16" s="6" t="s">
        <v>6</v>
      </c>
      <c r="E16" s="6" t="s">
        <v>7</v>
      </c>
    </row>
    <row r="17" customFormat="false" ht="14.25" hidden="false" customHeight="false" outlineLevel="0" collapsed="false">
      <c r="A17" s="4" t="n">
        <v>4020020000</v>
      </c>
      <c r="B17" s="4" t="s">
        <v>22</v>
      </c>
      <c r="C17" s="5" t="str">
        <f aca="false">B17</f>
        <v>usługi pocztowe</v>
      </c>
      <c r="D17" s="6" t="s">
        <v>6</v>
      </c>
      <c r="E17" s="6" t="s">
        <v>7</v>
      </c>
    </row>
    <row r="18" customFormat="false" ht="14.25" hidden="false" customHeight="false" outlineLevel="0" collapsed="false">
      <c r="A18" s="4" t="n">
        <v>4020030000</v>
      </c>
      <c r="B18" s="4" t="s">
        <v>23</v>
      </c>
      <c r="C18" s="5" t="str">
        <f aca="false">B18</f>
        <v>usługi kominiarskie</v>
      </c>
      <c r="D18" s="6" t="s">
        <v>6</v>
      </c>
      <c r="E18" s="6" t="s">
        <v>7</v>
      </c>
    </row>
    <row r="19" customFormat="false" ht="14.25" hidden="false" customHeight="false" outlineLevel="0" collapsed="false">
      <c r="A19" s="4" t="n">
        <v>4020040000</v>
      </c>
      <c r="B19" s="4" t="s">
        <v>24</v>
      </c>
      <c r="C19" s="5" t="str">
        <f aca="false">B19</f>
        <v>usług porządkowe ochrona mienia</v>
      </c>
      <c r="D19" s="6"/>
      <c r="E19" s="6"/>
    </row>
    <row r="20" customFormat="false" ht="14.25" hidden="false" customHeight="false" outlineLevel="0" collapsed="false">
      <c r="A20" s="4" t="n">
        <v>4020050000</v>
      </c>
      <c r="B20" s="4" t="s">
        <v>25</v>
      </c>
      <c r="C20" s="5" t="str">
        <f aca="false">B20</f>
        <v>usługi poligraficzne i introligatorskie</v>
      </c>
      <c r="D20" s="6"/>
      <c r="E20" s="6"/>
    </row>
    <row r="21" customFormat="false" ht="14.25" hidden="false" customHeight="false" outlineLevel="0" collapsed="false">
      <c r="A21" s="4" t="n">
        <v>4020060000</v>
      </c>
      <c r="B21" s="4" t="s">
        <v>26</v>
      </c>
      <c r="C21" s="5" t="str">
        <f aca="false">B21</f>
        <v>usługi informatyczne</v>
      </c>
      <c r="D21" s="6" t="s">
        <v>6</v>
      </c>
      <c r="E21" s="6" t="s">
        <v>7</v>
      </c>
    </row>
    <row r="22" customFormat="false" ht="14.25" hidden="false" customHeight="false" outlineLevel="0" collapsed="false">
      <c r="A22" s="4" t="n">
        <v>4020070000</v>
      </c>
      <c r="B22" s="4" t="s">
        <v>27</v>
      </c>
      <c r="C22" s="5" t="str">
        <f aca="false">B22</f>
        <v>naprawy i konserwacja drobnego sprzętu</v>
      </c>
      <c r="D22" s="6"/>
      <c r="E22" s="6"/>
    </row>
    <row r="23" customFormat="false" ht="14.25" hidden="false" customHeight="false" outlineLevel="0" collapsed="false">
      <c r="A23" s="4" t="n">
        <v>4020080000</v>
      </c>
      <c r="B23" s="4" t="s">
        <v>28</v>
      </c>
      <c r="C23" s="5" t="str">
        <f aca="false">B23</f>
        <v>remonty środków trwałych</v>
      </c>
      <c r="D23" s="6" t="s">
        <v>6</v>
      </c>
      <c r="E23" s="6" t="s">
        <v>7</v>
      </c>
    </row>
    <row r="24" customFormat="false" ht="14.25" hidden="false" customHeight="false" outlineLevel="0" collapsed="false">
      <c r="A24" s="4" t="n">
        <v>4020090000</v>
      </c>
      <c r="B24" s="4" t="s">
        <v>29</v>
      </c>
      <c r="C24" s="5" t="str">
        <f aca="false">B24</f>
        <v>remonty budynków i budowli</v>
      </c>
      <c r="D24" s="6"/>
      <c r="E24" s="6"/>
    </row>
    <row r="25" customFormat="false" ht="14.25" hidden="false" customHeight="false" outlineLevel="0" collapsed="false">
      <c r="A25" s="4" t="n">
        <v>4020100000</v>
      </c>
      <c r="B25" s="4" t="s">
        <v>30</v>
      </c>
      <c r="C25" s="5" t="str">
        <f aca="false">B25</f>
        <v>czynsz za dzierżawę pomieszczeń</v>
      </c>
      <c r="D25" s="6"/>
      <c r="E25" s="6"/>
    </row>
    <row r="26" customFormat="false" ht="14.25" hidden="false" customHeight="false" outlineLevel="0" collapsed="false">
      <c r="A26" s="4" t="n">
        <v>4020110000</v>
      </c>
      <c r="B26" s="4" t="s">
        <v>31</v>
      </c>
      <c r="C26" s="5" t="str">
        <f aca="false">B26</f>
        <v>remonty bieżące pomieszczeń</v>
      </c>
      <c r="D26" s="6"/>
      <c r="E26" s="6"/>
    </row>
    <row r="27" customFormat="false" ht="14.25" hidden="false" customHeight="false" outlineLevel="0" collapsed="false">
      <c r="A27" s="4" t="n">
        <v>4020120000</v>
      </c>
      <c r="B27" s="4" t="s">
        <v>32</v>
      </c>
      <c r="C27" s="5" t="str">
        <f aca="false">B27</f>
        <v>ogłoszenia</v>
      </c>
      <c r="D27" s="6" t="s">
        <v>6</v>
      </c>
      <c r="E27" s="6" t="s">
        <v>7</v>
      </c>
    </row>
    <row r="28" customFormat="false" ht="14.25" hidden="false" customHeight="false" outlineLevel="0" collapsed="false">
      <c r="A28" s="4" t="n">
        <v>4020130000</v>
      </c>
      <c r="B28" s="4" t="s">
        <v>33</v>
      </c>
      <c r="C28" s="5" t="str">
        <f aca="false">B28</f>
        <v>usługi badawcze</v>
      </c>
      <c r="D28" s="6" t="s">
        <v>6</v>
      </c>
      <c r="E28" s="6" t="s">
        <v>7</v>
      </c>
    </row>
    <row r="29" customFormat="false" ht="14.25" hidden="false" customHeight="false" outlineLevel="0" collapsed="false">
      <c r="A29" s="4" t="n">
        <v>4020140000</v>
      </c>
      <c r="B29" s="4" t="s">
        <v>34</v>
      </c>
      <c r="C29" s="5" t="str">
        <f aca="false">B29</f>
        <v>usługi bankowe</v>
      </c>
      <c r="D29" s="6" t="s">
        <v>6</v>
      </c>
      <c r="E29" s="6" t="s">
        <v>7</v>
      </c>
    </row>
    <row r="30" customFormat="false" ht="14.25" hidden="false" customHeight="false" outlineLevel="0" collapsed="false">
      <c r="A30" s="4" t="n">
        <v>4020150000</v>
      </c>
      <c r="B30" s="4" t="s">
        <v>35</v>
      </c>
      <c r="C30" s="5" t="str">
        <f aca="false">B30</f>
        <v>opłaty pocztowe-maszyna do frankowania</v>
      </c>
      <c r="D30" s="6"/>
      <c r="E30" s="6"/>
    </row>
    <row r="31" customFormat="false" ht="14.25" hidden="false" customHeight="false" outlineLevel="0" collapsed="false">
      <c r="A31" s="4" t="n">
        <v>4020160000</v>
      </c>
      <c r="B31" s="4" t="s">
        <v>36</v>
      </c>
      <c r="C31" s="5" t="str">
        <f aca="false">B31</f>
        <v>usługi dydaktyczne i tłumaczenia</v>
      </c>
      <c r="D31" s="6"/>
      <c r="E31" s="6"/>
    </row>
    <row r="32" customFormat="false" ht="14.25" hidden="false" customHeight="false" outlineLevel="0" collapsed="false">
      <c r="A32" s="4" t="n">
        <v>4020170000</v>
      </c>
      <c r="B32" s="4" t="s">
        <v>37</v>
      </c>
      <c r="C32" s="5" t="str">
        <f aca="false">B32</f>
        <v>opłąty telekomunikacyjne-tel stacj.</v>
      </c>
      <c r="D32" s="6"/>
      <c r="E32" s="6"/>
    </row>
    <row r="33" customFormat="false" ht="14.25" hidden="false" customHeight="false" outlineLevel="0" collapsed="false">
      <c r="A33" s="4" t="n">
        <v>4020180000</v>
      </c>
      <c r="B33" s="4" t="s">
        <v>38</v>
      </c>
      <c r="C33" s="5" t="str">
        <f aca="false">B33</f>
        <v>opłąty telekomunikacyjne-tel komórk.</v>
      </c>
      <c r="D33" s="6"/>
      <c r="E33" s="6"/>
    </row>
    <row r="34" customFormat="false" ht="14.25" hidden="false" customHeight="false" outlineLevel="0" collapsed="false">
      <c r="A34" s="4" t="n">
        <v>4020190000</v>
      </c>
      <c r="B34" s="4" t="s">
        <v>39</v>
      </c>
      <c r="C34" s="7" t="s">
        <v>5</v>
      </c>
      <c r="D34" s="6" t="s">
        <v>6</v>
      </c>
      <c r="E34" s="6" t="s">
        <v>7</v>
      </c>
    </row>
    <row r="35" customFormat="false" ht="14.25" hidden="false" customHeight="false" outlineLevel="0" collapsed="false">
      <c r="A35" s="4" t="n">
        <v>4020200000</v>
      </c>
      <c r="B35" s="4" t="s">
        <v>40</v>
      </c>
      <c r="C35" s="5" t="str">
        <f aca="false">B35</f>
        <v>dzierżawa łączy (np.. NASK)</v>
      </c>
      <c r="D35" s="6"/>
      <c r="E35" s="6"/>
    </row>
    <row r="36" customFormat="false" ht="14.25" hidden="false" customHeight="false" outlineLevel="0" collapsed="false">
      <c r="A36" s="4" t="n">
        <v>4020210000</v>
      </c>
      <c r="B36" s="4" t="s">
        <v>41</v>
      </c>
      <c r="C36" s="5" t="str">
        <f aca="false">B36</f>
        <v>usł. jedn. współrealizujących</v>
      </c>
      <c r="D36" s="6"/>
      <c r="E36" s="6"/>
    </row>
    <row r="37" customFormat="false" ht="14.25" hidden="false" customHeight="false" outlineLevel="0" collapsed="false">
      <c r="A37" s="4" t="n">
        <v>4020220000</v>
      </c>
      <c r="B37" s="4" t="s">
        <v>42</v>
      </c>
      <c r="C37" s="5" t="str">
        <f aca="false">B37</f>
        <v>koserw. Inst. elektr. sanitarnej i przeciwpoż</v>
      </c>
      <c r="D37" s="6"/>
      <c r="E37" s="6"/>
    </row>
    <row r="38" customFormat="false" ht="14.25" hidden="false" customHeight="false" outlineLevel="0" collapsed="false">
      <c r="A38" s="4" t="n">
        <v>4020230000</v>
      </c>
      <c r="B38" s="4" t="s">
        <v>43</v>
      </c>
      <c r="C38" s="5" t="str">
        <f aca="false">B38</f>
        <v>konserwacje węzłów cieplnych</v>
      </c>
      <c r="D38" s="6"/>
      <c r="E38" s="6"/>
    </row>
    <row r="39" customFormat="false" ht="14.25" hidden="false" customHeight="false" outlineLevel="0" collapsed="false">
      <c r="A39" s="4" t="n">
        <v>4020240000</v>
      </c>
      <c r="B39" s="4" t="s">
        <v>44</v>
      </c>
      <c r="C39" s="5" t="str">
        <f aca="false">B39</f>
        <v>konserwacja wentylacji</v>
      </c>
      <c r="D39" s="6"/>
      <c r="E39" s="6"/>
    </row>
    <row r="40" customFormat="false" ht="14.25" hidden="false" customHeight="false" outlineLevel="0" collapsed="false">
      <c r="A40" s="4" t="n">
        <v>4020250000</v>
      </c>
      <c r="B40" s="4" t="s">
        <v>45</v>
      </c>
      <c r="C40" s="5" t="str">
        <f aca="false">B40</f>
        <v>pozstałe przeglądy i konserwacje bud. dozór techn.</v>
      </c>
      <c r="D40" s="6"/>
      <c r="E40" s="6"/>
    </row>
    <row r="41" customFormat="false" ht="14.25" hidden="false" customHeight="false" outlineLevel="0" collapsed="false">
      <c r="A41" s="4" t="n">
        <v>4020260000</v>
      </c>
      <c r="B41" s="4" t="s">
        <v>46</v>
      </c>
      <c r="C41" s="5" t="str">
        <f aca="false">B41</f>
        <v>pranie dezynsekcja i deratyzacja</v>
      </c>
      <c r="D41" s="6"/>
      <c r="E41" s="6"/>
    </row>
    <row r="42" customFormat="false" ht="14.25" hidden="false" customHeight="false" outlineLevel="0" collapsed="false">
      <c r="A42" s="4" t="n">
        <v>4030010000</v>
      </c>
      <c r="B42" s="4" t="s">
        <v>47</v>
      </c>
      <c r="C42" s="5" t="str">
        <f aca="false">B42</f>
        <v>podatek od środków transportu</v>
      </c>
      <c r="D42" s="6"/>
      <c r="E42" s="6"/>
    </row>
    <row r="43" customFormat="false" ht="14.25" hidden="false" customHeight="false" outlineLevel="0" collapsed="false">
      <c r="A43" s="4" t="n">
        <v>4030020000</v>
      </c>
      <c r="B43" s="4" t="s">
        <v>48</v>
      </c>
      <c r="C43" s="5" t="str">
        <f aca="false">B43</f>
        <v>podatek od nieruchomości</v>
      </c>
      <c r="D43" s="6"/>
      <c r="E43" s="6"/>
    </row>
    <row r="44" customFormat="false" ht="14.25" hidden="false" customHeight="false" outlineLevel="0" collapsed="false">
      <c r="A44" s="4" t="n">
        <v>4030030000</v>
      </c>
      <c r="B44" s="4" t="s">
        <v>49</v>
      </c>
      <c r="C44" s="5" t="str">
        <f aca="false">B44</f>
        <v>inne podatki (z wyj. dochodowego)</v>
      </c>
      <c r="D44" s="6"/>
      <c r="E44" s="6"/>
    </row>
    <row r="45" customFormat="false" ht="14.25" hidden="false" customHeight="false" outlineLevel="0" collapsed="false">
      <c r="A45" s="4" t="n">
        <v>4030040000</v>
      </c>
      <c r="B45" s="4" t="s">
        <v>50</v>
      </c>
      <c r="C45" s="5" t="str">
        <f aca="false">B45</f>
        <v>opłaty skarbowe i inne urzędowe</v>
      </c>
      <c r="D45" s="6"/>
      <c r="E45" s="6"/>
    </row>
    <row r="46" customFormat="false" ht="14.25" hidden="false" customHeight="false" outlineLevel="0" collapsed="false">
      <c r="A46" s="4" t="n">
        <v>4030050000</v>
      </c>
      <c r="B46" s="4" t="s">
        <v>51</v>
      </c>
      <c r="C46" s="5" t="str">
        <f aca="false">B46</f>
        <v>opłaty sądowe i inne notarialne</v>
      </c>
      <c r="D46" s="6"/>
      <c r="E46" s="6"/>
    </row>
    <row r="47" customFormat="false" ht="14.25" hidden="false" customHeight="false" outlineLevel="0" collapsed="false">
      <c r="A47" s="4" t="n">
        <v>4030060000</v>
      </c>
      <c r="B47" s="4" t="s">
        <v>52</v>
      </c>
      <c r="C47" s="5" t="str">
        <f aca="false">B47</f>
        <v>opłaty za dostęp do baz danych</v>
      </c>
      <c r="D47" s="6" t="s">
        <v>6</v>
      </c>
      <c r="E47" s="6" t="s">
        <v>7</v>
      </c>
    </row>
    <row r="48" customFormat="false" ht="14.25" hidden="false" customHeight="false" outlineLevel="0" collapsed="false">
      <c r="A48" s="4" t="n">
        <v>4030070000</v>
      </c>
      <c r="B48" s="4" t="s">
        <v>53</v>
      </c>
      <c r="C48" s="5" t="str">
        <f aca="false">B48</f>
        <v>opłaty za wywóz nieczystości</v>
      </c>
      <c r="D48" s="6"/>
      <c r="E48" s="6"/>
    </row>
    <row r="49" customFormat="false" ht="14.25" hidden="false" customHeight="false" outlineLevel="0" collapsed="false">
      <c r="A49" s="4" t="n">
        <v>4030080000</v>
      </c>
      <c r="B49" s="4" t="s">
        <v>54</v>
      </c>
      <c r="C49" s="5" t="str">
        <f aca="false">B49</f>
        <v>opłaty za użytkowanie wieczyste gruntów</v>
      </c>
      <c r="D49" s="6"/>
      <c r="E49" s="6"/>
    </row>
    <row r="50" customFormat="false" ht="14.25" hidden="false" customHeight="false" outlineLevel="0" collapsed="false">
      <c r="A50" s="4" t="n">
        <v>4040010000</v>
      </c>
      <c r="B50" s="4" t="s">
        <v>55</v>
      </c>
      <c r="C50" s="5" t="str">
        <f aca="false">B50</f>
        <v>osobowy fundusz płac</v>
      </c>
      <c r="D50" s="5" t="s">
        <v>56</v>
      </c>
      <c r="E50" s="5" t="s">
        <v>7</v>
      </c>
    </row>
    <row r="51" customFormat="false" ht="14.25" hidden="false" customHeight="false" outlineLevel="0" collapsed="false">
      <c r="A51" s="4" t="n">
        <v>4040020000</v>
      </c>
      <c r="B51" s="4" t="s">
        <v>57</v>
      </c>
      <c r="C51" s="5" t="str">
        <f aca="false">B51</f>
        <v>Nagroda ministra</v>
      </c>
      <c r="D51" s="5" t="s">
        <v>56</v>
      </c>
      <c r="E51" s="5" t="s">
        <v>7</v>
      </c>
    </row>
    <row r="52" customFormat="false" ht="14.25" hidden="false" customHeight="false" outlineLevel="0" collapsed="false">
      <c r="A52" s="4" t="n">
        <v>4040030000</v>
      </c>
      <c r="B52" s="4" t="s">
        <v>58</v>
      </c>
      <c r="C52" s="5" t="str">
        <f aca="false">B52</f>
        <v>bezosobowy fundusz płac</v>
      </c>
      <c r="D52" s="5" t="s">
        <v>56</v>
      </c>
      <c r="E52" s="5" t="s">
        <v>7</v>
      </c>
    </row>
    <row r="53" customFormat="false" ht="14.25" hidden="false" customHeight="false" outlineLevel="0" collapsed="false">
      <c r="A53" s="4" t="n">
        <v>4040040000</v>
      </c>
      <c r="B53" s="4" t="s">
        <v>59</v>
      </c>
      <c r="C53" s="5" t="str">
        <f aca="false">B53</f>
        <v>honoraria</v>
      </c>
      <c r="D53" s="5" t="s">
        <v>56</v>
      </c>
      <c r="E53" s="5" t="s">
        <v>7</v>
      </c>
    </row>
    <row r="54" customFormat="false" ht="14.25" hidden="false" customHeight="false" outlineLevel="0" collapsed="false">
      <c r="A54" s="4" t="n">
        <v>4040050000</v>
      </c>
      <c r="B54" s="4" t="s">
        <v>60</v>
      </c>
      <c r="C54" s="5" t="str">
        <f aca="false">B54</f>
        <v>dodoatkowe wyn roczne  trzynastka</v>
      </c>
      <c r="D54" s="6" t="s">
        <v>56</v>
      </c>
      <c r="E54" s="6" t="s">
        <v>7</v>
      </c>
    </row>
    <row r="55" customFormat="false" ht="14.25" hidden="false" customHeight="false" outlineLevel="0" collapsed="false">
      <c r="A55" s="4" t="n">
        <v>4050010000</v>
      </c>
      <c r="B55" s="4" t="s">
        <v>61</v>
      </c>
      <c r="C55" s="5" t="str">
        <f aca="false">B55</f>
        <v>osobowy fundusz płac-składki na ubezp. społ obcokr</v>
      </c>
      <c r="D55" s="5" t="s">
        <v>56</v>
      </c>
      <c r="E55" s="5" t="s">
        <v>7</v>
      </c>
    </row>
    <row r="56" customFormat="false" ht="14.25" hidden="false" customHeight="false" outlineLevel="0" collapsed="false">
      <c r="A56" s="4" t="n">
        <v>4050030000</v>
      </c>
      <c r="B56" s="4" t="s">
        <v>62</v>
      </c>
      <c r="C56" s="5" t="str">
        <f aca="false">B56</f>
        <v>odpis na własny fund. styp.</v>
      </c>
      <c r="D56" s="6"/>
      <c r="E56" s="6"/>
    </row>
    <row r="57" customFormat="false" ht="14.25" hidden="false" customHeight="false" outlineLevel="0" collapsed="false">
      <c r="A57" s="4" t="n">
        <v>4050040000</v>
      </c>
      <c r="B57" s="4" t="s">
        <v>63</v>
      </c>
      <c r="C57" s="5" t="str">
        <f aca="false">B57</f>
        <v>odpisy na ZFŚS</v>
      </c>
      <c r="D57" s="5" t="s">
        <v>56</v>
      </c>
      <c r="E57" s="5" t="s">
        <v>7</v>
      </c>
    </row>
    <row r="58" customFormat="false" ht="14.25" hidden="false" customHeight="false" outlineLevel="0" collapsed="false">
      <c r="A58" s="4" t="n">
        <v>4050060000</v>
      </c>
      <c r="B58" s="4" t="s">
        <v>64</v>
      </c>
      <c r="C58" s="5" t="str">
        <f aca="false">B58</f>
        <v>świadczenia rzeczowe związane z BHP</v>
      </c>
      <c r="D58" s="6"/>
      <c r="E58" s="6"/>
    </row>
    <row r="59" customFormat="false" ht="14.25" hidden="false" customHeight="false" outlineLevel="0" collapsed="false">
      <c r="A59" s="4" t="n">
        <v>4050070000</v>
      </c>
      <c r="B59" s="4" t="s">
        <v>65</v>
      </c>
      <c r="C59" s="5" t="str">
        <f aca="false">B59</f>
        <v>odzież ochronna i robocza</v>
      </c>
      <c r="D59" s="6"/>
      <c r="E59" s="6"/>
    </row>
    <row r="60" customFormat="false" ht="14.25" hidden="false" customHeight="false" outlineLevel="0" collapsed="false">
      <c r="A60" s="4" t="n">
        <v>4050080000</v>
      </c>
      <c r="B60" s="4" t="s">
        <v>66</v>
      </c>
      <c r="C60" s="5" t="str">
        <f aca="false">B60</f>
        <v>szkolenie pracowników przez obce jednostki</v>
      </c>
      <c r="D60" s="5"/>
      <c r="E60" s="5"/>
    </row>
    <row r="61" customFormat="false" ht="14.25" hidden="false" customHeight="false" outlineLevel="0" collapsed="false">
      <c r="A61" s="4" t="n">
        <v>4050090000</v>
      </c>
      <c r="B61" s="4" t="s">
        <v>67</v>
      </c>
      <c r="C61" s="5" t="str">
        <f aca="false">B61</f>
        <v>ubezbieczenia osobowe pracowników</v>
      </c>
      <c r="D61" s="5" t="s">
        <v>56</v>
      </c>
      <c r="E61" s="5" t="s">
        <v>7</v>
      </c>
    </row>
    <row r="62" customFormat="false" ht="14.25" hidden="false" customHeight="false" outlineLevel="0" collapsed="false">
      <c r="A62" s="4" t="n">
        <v>4050100000</v>
      </c>
      <c r="B62" s="4" t="s">
        <v>68</v>
      </c>
      <c r="C62" s="5" t="str">
        <f aca="false">B62</f>
        <v>inne świadczenia na rzecz prac.</v>
      </c>
      <c r="D62" s="5" t="s">
        <v>56</v>
      </c>
      <c r="E62" s="5" t="s">
        <v>7</v>
      </c>
    </row>
    <row r="63" customFormat="false" ht="14.25" hidden="false" customHeight="false" outlineLevel="0" collapsed="false">
      <c r="A63" s="4" t="n">
        <v>4050110000</v>
      </c>
      <c r="B63" s="4" t="s">
        <v>69</v>
      </c>
      <c r="C63" s="5" t="str">
        <f aca="false">B63</f>
        <v>osobowy fund. płac - ZUS ubezp. emerytalne</v>
      </c>
      <c r="D63" s="5" t="s">
        <v>56</v>
      </c>
      <c r="E63" s="5" t="s">
        <v>7</v>
      </c>
    </row>
    <row r="64" customFormat="false" ht="14.25" hidden="false" customHeight="false" outlineLevel="0" collapsed="false">
      <c r="A64" s="4" t="n">
        <v>4050120000</v>
      </c>
      <c r="B64" s="4" t="s">
        <v>70</v>
      </c>
      <c r="C64" s="5" t="str">
        <f aca="false">B64</f>
        <v>osobowy fund. płac - ZUS ubezp. rentowe</v>
      </c>
      <c r="D64" s="5" t="s">
        <v>56</v>
      </c>
      <c r="E64" s="5" t="s">
        <v>7</v>
      </c>
    </row>
    <row r="65" customFormat="false" ht="14.25" hidden="false" customHeight="false" outlineLevel="0" collapsed="false">
      <c r="A65" s="4" t="n">
        <v>4050130000</v>
      </c>
      <c r="B65" s="4" t="s">
        <v>71</v>
      </c>
      <c r="C65" s="5" t="str">
        <f aca="false">B65</f>
        <v>osobowy fund. płac - ZUS ubezp. wypadkowe</v>
      </c>
      <c r="D65" s="5" t="s">
        <v>56</v>
      </c>
      <c r="E65" s="5" t="s">
        <v>7</v>
      </c>
    </row>
    <row r="66" customFormat="false" ht="14.25" hidden="false" customHeight="false" outlineLevel="0" collapsed="false">
      <c r="A66" s="4" t="n">
        <v>4050140000</v>
      </c>
      <c r="B66" s="4" t="s">
        <v>72</v>
      </c>
      <c r="C66" s="5" t="str">
        <f aca="false">B66</f>
        <v>osobowy fund. płac - ZUS fundusz pracy</v>
      </c>
      <c r="D66" s="5" t="s">
        <v>56</v>
      </c>
      <c r="E66" s="5" t="s">
        <v>7</v>
      </c>
    </row>
    <row r="67" customFormat="false" ht="14.25" hidden="false" customHeight="false" outlineLevel="0" collapsed="false">
      <c r="A67" s="4" t="n">
        <v>4050160000</v>
      </c>
      <c r="B67" s="4" t="s">
        <v>73</v>
      </c>
      <c r="C67" s="5" t="str">
        <f aca="false">B67</f>
        <v>bezosobowy fund. płac - ZUS ubezp. emerytalne</v>
      </c>
      <c r="D67" s="5" t="s">
        <v>56</v>
      </c>
      <c r="E67" s="5" t="s">
        <v>7</v>
      </c>
    </row>
    <row r="68" customFormat="false" ht="14.25" hidden="false" customHeight="false" outlineLevel="0" collapsed="false">
      <c r="A68" s="4" t="n">
        <v>4050170000</v>
      </c>
      <c r="B68" s="4" t="s">
        <v>74</v>
      </c>
      <c r="C68" s="5" t="str">
        <f aca="false">B68</f>
        <v>bezosobowy fund. płac - ZUS ubezp. rentowe</v>
      </c>
      <c r="D68" s="5" t="s">
        <v>56</v>
      </c>
      <c r="E68" s="5" t="s">
        <v>7</v>
      </c>
    </row>
    <row r="69" customFormat="false" ht="14.25" hidden="false" customHeight="false" outlineLevel="0" collapsed="false">
      <c r="A69" s="4" t="n">
        <v>4050180000</v>
      </c>
      <c r="B69" s="4" t="s">
        <v>75</v>
      </c>
      <c r="C69" s="5" t="str">
        <f aca="false">B69</f>
        <v>bezosobowy fund. płac - ZUS ubezp. wypadkowe</v>
      </c>
      <c r="D69" s="5" t="s">
        <v>56</v>
      </c>
      <c r="E69" s="5" t="s">
        <v>7</v>
      </c>
    </row>
    <row r="70" customFormat="false" ht="14.25" hidden="false" customHeight="false" outlineLevel="0" collapsed="false">
      <c r="A70" s="4" t="n">
        <v>4050190000</v>
      </c>
      <c r="B70" s="4" t="s">
        <v>76</v>
      </c>
      <c r="C70" s="5" t="str">
        <f aca="false">B70</f>
        <v>bezosobowy fund. płac - ZUS fundusz pracy</v>
      </c>
      <c r="D70" s="5" t="s">
        <v>56</v>
      </c>
      <c r="E70" s="5" t="s">
        <v>7</v>
      </c>
    </row>
    <row r="71" customFormat="false" ht="14.25" hidden="false" customHeight="false" outlineLevel="0" collapsed="false">
      <c r="A71" s="4" t="n">
        <v>4050220000</v>
      </c>
      <c r="B71" s="4" t="s">
        <v>77</v>
      </c>
      <c r="C71" s="5" t="str">
        <f aca="false">B71</f>
        <v>BFP -kosztyPPK-prac</v>
      </c>
      <c r="D71" s="5" t="s">
        <v>56</v>
      </c>
      <c r="E71" s="5" t="s">
        <v>7</v>
      </c>
    </row>
    <row r="72" customFormat="false" ht="14.25" hidden="false" customHeight="false" outlineLevel="0" collapsed="false">
      <c r="A72" s="4" t="n">
        <v>4050150000</v>
      </c>
      <c r="B72" s="4" t="s">
        <v>78</v>
      </c>
      <c r="C72" s="5" t="str">
        <f aca="false">B72</f>
        <v>OFP -koszty PPK</v>
      </c>
      <c r="D72" s="5" t="s">
        <v>56</v>
      </c>
      <c r="E72" s="5" t="s">
        <v>7</v>
      </c>
    </row>
    <row r="73" customFormat="false" ht="14.25" hidden="false" customHeight="false" outlineLevel="0" collapsed="false">
      <c r="A73" s="4" t="n">
        <v>4050230000</v>
      </c>
      <c r="B73" s="4" t="s">
        <v>79</v>
      </c>
      <c r="C73" s="5" t="str">
        <f aca="false">B73</f>
        <v>BFP -koszty PPK-OZ</v>
      </c>
      <c r="D73" s="5" t="s">
        <v>56</v>
      </c>
      <c r="E73" s="5" t="s">
        <v>7</v>
      </c>
    </row>
    <row r="74" customFormat="false" ht="14.25" hidden="false" customHeight="false" outlineLevel="0" collapsed="false">
      <c r="A74" s="4" t="n">
        <v>4080010000</v>
      </c>
      <c r="B74" s="4" t="s">
        <v>80</v>
      </c>
      <c r="C74" s="5" t="str">
        <f aca="false">B74</f>
        <v>amortyzacja środków trw.</v>
      </c>
      <c r="D74" s="6" t="s">
        <v>6</v>
      </c>
      <c r="E74" s="6" t="s">
        <v>7</v>
      </c>
    </row>
    <row r="75" customFormat="false" ht="14.25" hidden="false" customHeight="false" outlineLevel="0" collapsed="false">
      <c r="A75" s="4" t="n">
        <v>4080020000</v>
      </c>
      <c r="B75" s="4" t="s">
        <v>81</v>
      </c>
      <c r="C75" s="5" t="str">
        <f aca="false">B75</f>
        <v>amortyzacja zbiorów bibl.</v>
      </c>
      <c r="D75" s="6" t="s">
        <v>6</v>
      </c>
      <c r="E75" s="6" t="s">
        <v>7</v>
      </c>
    </row>
    <row r="76" customFormat="false" ht="14.25" hidden="false" customHeight="false" outlineLevel="0" collapsed="false">
      <c r="A76" s="4" t="n">
        <v>4080030000</v>
      </c>
      <c r="B76" s="4" t="s">
        <v>81</v>
      </c>
      <c r="C76" s="5" t="str">
        <f aca="false">B76</f>
        <v>amortyzacja zbiorów bibl.</v>
      </c>
      <c r="D76" s="6" t="s">
        <v>6</v>
      </c>
      <c r="E76" s="6" t="s">
        <v>7</v>
      </c>
    </row>
    <row r="77" customFormat="false" ht="14.25" hidden="false" customHeight="false" outlineLevel="0" collapsed="false">
      <c r="A77" s="4" t="n">
        <v>4080040000</v>
      </c>
      <c r="B77" s="4" t="s">
        <v>82</v>
      </c>
      <c r="C77" s="5" t="str">
        <f aca="false">B77</f>
        <v>amortyzacja WNiP</v>
      </c>
      <c r="D77" s="6" t="s">
        <v>6</v>
      </c>
      <c r="E77" s="6" t="s">
        <v>7</v>
      </c>
    </row>
    <row r="78" customFormat="false" ht="14.25" hidden="false" customHeight="false" outlineLevel="0" collapsed="false">
      <c r="A78" s="4" t="n">
        <v>4080050000</v>
      </c>
      <c r="B78" s="4" t="s">
        <v>83</v>
      </c>
      <c r="C78" s="5" t="str">
        <f aca="false">B78</f>
        <v>Obce śr trwałe w użytkowaniu uczelni</v>
      </c>
      <c r="D78" s="6"/>
      <c r="E78" s="6"/>
    </row>
    <row r="79" customFormat="false" ht="14.25" hidden="false" customHeight="false" outlineLevel="0" collapsed="false">
      <c r="A79" s="4" t="n">
        <v>4090010000</v>
      </c>
      <c r="B79" s="4" t="s">
        <v>84</v>
      </c>
      <c r="C79" s="7" t="s">
        <v>85</v>
      </c>
      <c r="D79" s="5" t="s">
        <v>6</v>
      </c>
      <c r="E79" s="5" t="s">
        <v>7</v>
      </c>
    </row>
    <row r="80" customFormat="false" ht="14.25" hidden="false" customHeight="false" outlineLevel="0" collapsed="false">
      <c r="A80" s="4" t="n">
        <v>4090020000</v>
      </c>
      <c r="B80" s="4" t="s">
        <v>86</v>
      </c>
      <c r="C80" s="7" t="s">
        <v>85</v>
      </c>
      <c r="D80" s="5" t="s">
        <v>6</v>
      </c>
      <c r="E80" s="5" t="s">
        <v>7</v>
      </c>
    </row>
    <row r="81" customFormat="false" ht="14.25" hidden="false" customHeight="false" outlineLevel="0" collapsed="false">
      <c r="A81" s="4" t="n">
        <v>4090040000</v>
      </c>
      <c r="B81" s="4" t="s">
        <v>87</v>
      </c>
      <c r="C81" s="7" t="s">
        <v>85</v>
      </c>
      <c r="D81" s="6"/>
      <c r="E81" s="6"/>
    </row>
    <row r="82" customFormat="false" ht="14.25" hidden="false" customHeight="false" outlineLevel="0" collapsed="false">
      <c r="A82" s="4" t="n">
        <v>4090050000</v>
      </c>
      <c r="B82" s="4" t="s">
        <v>88</v>
      </c>
      <c r="C82" s="5" t="str">
        <f aca="false">B82</f>
        <v>koszty przen. pracownika zw. z zagosp./wynaj.kwat</v>
      </c>
      <c r="D82" s="5" t="s">
        <v>6</v>
      </c>
      <c r="E82" s="5" t="s">
        <v>7</v>
      </c>
    </row>
    <row r="83" customFormat="false" ht="14.25" hidden="false" customHeight="false" outlineLevel="0" collapsed="false">
      <c r="A83" s="4" t="n">
        <v>4090060000</v>
      </c>
      <c r="B83" s="4" t="s">
        <v>89</v>
      </c>
      <c r="C83" s="5" t="str">
        <f aca="false">B83</f>
        <v>koszty obsł. del. zagr.</v>
      </c>
      <c r="D83" s="6" t="s">
        <v>6</v>
      </c>
      <c r="E83" s="6" t="s">
        <v>7</v>
      </c>
    </row>
    <row r="84" customFormat="false" ht="14.25" hidden="false" customHeight="false" outlineLevel="0" collapsed="false">
      <c r="A84" s="4" t="n">
        <v>4090070000</v>
      </c>
      <c r="B84" s="4" t="s">
        <v>90</v>
      </c>
      <c r="C84" s="5" t="str">
        <f aca="false">B84</f>
        <v>ubezp. majątk.</v>
      </c>
      <c r="D84" s="6"/>
      <c r="E84" s="6"/>
    </row>
    <row r="85" customFormat="false" ht="14.25" hidden="false" customHeight="false" outlineLevel="0" collapsed="false">
      <c r="A85" s="4" t="n">
        <v>4090080000</v>
      </c>
      <c r="B85" s="4" t="s">
        <v>91</v>
      </c>
      <c r="C85" s="5" t="str">
        <f aca="false">B85</f>
        <v>koszty reprez.</v>
      </c>
      <c r="D85" s="6"/>
      <c r="E85" s="6"/>
    </row>
    <row r="86" customFormat="false" ht="14.25" hidden="false" customHeight="false" outlineLevel="0" collapsed="false">
      <c r="A86" s="4" t="n">
        <v>4090090000</v>
      </c>
      <c r="B86" s="4" t="s">
        <v>92</v>
      </c>
      <c r="C86" s="5" t="str">
        <f aca="false">B86</f>
        <v>stypendia dla pracowników</v>
      </c>
      <c r="D86" s="6" t="s">
        <v>56</v>
      </c>
      <c r="E86" s="6" t="s">
        <v>7</v>
      </c>
    </row>
    <row r="87" customFormat="false" ht="14.25" hidden="false" customHeight="false" outlineLevel="0" collapsed="false">
      <c r="A87" s="4" t="n">
        <v>4090100000</v>
      </c>
      <c r="B87" s="4" t="s">
        <v>93</v>
      </c>
      <c r="C87" s="5" t="str">
        <f aca="false">B87</f>
        <v>stypendia dla doktorantów krajowych</v>
      </c>
      <c r="D87" s="6" t="s">
        <v>56</v>
      </c>
      <c r="E87" s="6" t="s">
        <v>7</v>
      </c>
    </row>
    <row r="88" customFormat="false" ht="14.25" hidden="false" customHeight="false" outlineLevel="0" collapsed="false">
      <c r="A88" s="4" t="n">
        <v>4090110000</v>
      </c>
      <c r="B88" s="4" t="s">
        <v>94</v>
      </c>
      <c r="C88" s="5" t="str">
        <f aca="false">B88</f>
        <v>stypendia dla studentów zagr. oraz ekw. za wyżywie</v>
      </c>
      <c r="D88" s="6" t="s">
        <v>56</v>
      </c>
      <c r="E88" s="6" t="s">
        <v>7</v>
      </c>
    </row>
    <row r="89" customFormat="false" ht="14.25" hidden="false" customHeight="false" outlineLevel="0" collapsed="false">
      <c r="A89" s="4" t="n">
        <v>4090120000</v>
      </c>
      <c r="B89" s="4" t="s">
        <v>95</v>
      </c>
      <c r="C89" s="5" t="str">
        <f aca="false">B89</f>
        <v>odprawy pośmiertne</v>
      </c>
      <c r="D89" s="6"/>
      <c r="E89" s="6"/>
    </row>
    <row r="90" customFormat="false" ht="14.25" hidden="false" customHeight="false" outlineLevel="0" collapsed="false">
      <c r="A90" s="4" t="n">
        <v>4090130000</v>
      </c>
      <c r="B90" s="4" t="s">
        <v>96</v>
      </c>
      <c r="C90" s="5" t="str">
        <f aca="false">B90</f>
        <v>koszty praktyk studenckich</v>
      </c>
      <c r="D90" s="6"/>
      <c r="E90" s="6"/>
    </row>
    <row r="91" customFormat="false" ht="14.25" hidden="false" customHeight="false" outlineLevel="0" collapsed="false">
      <c r="A91" s="4" t="n">
        <v>4090140000</v>
      </c>
      <c r="B91" s="4" t="s">
        <v>97</v>
      </c>
      <c r="C91" s="5" t="s">
        <v>85</v>
      </c>
      <c r="D91" s="5" t="s">
        <v>6</v>
      </c>
      <c r="E91" s="5" t="s">
        <v>7</v>
      </c>
    </row>
    <row r="92" customFormat="false" ht="14.25" hidden="false" customHeight="false" outlineLevel="0" collapsed="false">
      <c r="A92" s="4" t="n">
        <v>4090150000</v>
      </c>
      <c r="B92" s="4" t="s">
        <v>98</v>
      </c>
      <c r="C92" s="5" t="str">
        <f aca="false">B92</f>
        <v>stypendia dla doktorantów zagranicznych</v>
      </c>
      <c r="D92" s="6" t="s">
        <v>56</v>
      </c>
      <c r="E92" s="6" t="s">
        <v>7</v>
      </c>
    </row>
    <row r="93" customFormat="false" ht="14.25" hidden="false" customHeight="false" outlineLevel="0" collapsed="false">
      <c r="A93" s="4" t="n">
        <v>4090160000</v>
      </c>
      <c r="B93" s="4" t="s">
        <v>99</v>
      </c>
      <c r="C93" s="5" t="str">
        <f aca="false">B93</f>
        <v>stypendia dla doktorantów cudzoziemców</v>
      </c>
      <c r="D93" s="6" t="s">
        <v>56</v>
      </c>
      <c r="E93" s="6" t="s">
        <v>7</v>
      </c>
    </row>
    <row r="94" customFormat="false" ht="14.25" hidden="false" customHeight="false" outlineLevel="0" collapsed="false">
      <c r="A94" s="4" t="n">
        <v>4090170000</v>
      </c>
      <c r="B94" s="4" t="s">
        <v>100</v>
      </c>
      <c r="C94" s="5" t="str">
        <f aca="false">B94</f>
        <v>stypendia - programy ramowe UE, fund. strukt.</v>
      </c>
      <c r="D94" s="6" t="s">
        <v>56</v>
      </c>
      <c r="E94" s="6" t="s">
        <v>7</v>
      </c>
    </row>
    <row r="95" customFormat="false" ht="14.25" hidden="false" customHeight="false" outlineLevel="0" collapsed="false">
      <c r="A95" s="4" t="n">
        <v>4090180000</v>
      </c>
      <c r="B95" s="4" t="s">
        <v>101</v>
      </c>
      <c r="C95" s="5" t="str">
        <f aca="false">B95</f>
        <v>stypendia w ramach programy Erasmus</v>
      </c>
      <c r="D95" s="6" t="s">
        <v>56</v>
      </c>
      <c r="E95" s="6" t="s">
        <v>7</v>
      </c>
    </row>
    <row r="96" customFormat="false" ht="14.25" hidden="false" customHeight="false" outlineLevel="0" collapsed="false">
      <c r="A96" s="4" t="n">
        <v>4090190000</v>
      </c>
      <c r="B96" s="4" t="s">
        <v>102</v>
      </c>
      <c r="C96" s="5" t="str">
        <f aca="false">B96</f>
        <v>inne koszty pozostałe</v>
      </c>
      <c r="D96" s="5" t="s">
        <v>6</v>
      </c>
      <c r="E96" s="5" t="s">
        <v>7</v>
      </c>
    </row>
    <row r="97" customFormat="false" ht="14.25" hidden="false" customHeight="false" outlineLevel="0" collapsed="false">
      <c r="A97" s="4" t="n">
        <v>4090200000</v>
      </c>
      <c r="B97" s="4" t="s">
        <v>103</v>
      </c>
      <c r="C97" s="5" t="str">
        <f aca="false">B97</f>
        <v>stypendia dla asystentów-staż. krajowych</v>
      </c>
      <c r="D97" s="6" t="s">
        <v>56</v>
      </c>
      <c r="E97" s="6" t="s">
        <v>7</v>
      </c>
    </row>
    <row r="98" customFormat="false" ht="14.25" hidden="false" customHeight="false" outlineLevel="0" collapsed="false">
      <c r="A98" s="4" t="n">
        <v>4090210000</v>
      </c>
      <c r="B98" s="4" t="s">
        <v>104</v>
      </c>
      <c r="C98" s="5" t="str">
        <f aca="false">B98</f>
        <v>stypendia dla asystentów cudzoz.-stypend. UW</v>
      </c>
      <c r="D98" s="6" t="s">
        <v>56</v>
      </c>
      <c r="E98" s="6" t="s">
        <v>7</v>
      </c>
    </row>
    <row r="99" customFormat="false" ht="14.25" hidden="false" customHeight="false" outlineLevel="0" collapsed="false">
      <c r="A99" s="4" t="n">
        <v>4090220000</v>
      </c>
      <c r="B99" s="4" t="s">
        <v>105</v>
      </c>
      <c r="C99" s="5" t="str">
        <f aca="false">B99</f>
        <v>stypendia doktoranckie finansowane z projektów</v>
      </c>
      <c r="D99" s="6" t="s">
        <v>56</v>
      </c>
      <c r="E99" s="6" t="s">
        <v>7</v>
      </c>
    </row>
    <row r="100" customFormat="false" ht="14.25" hidden="false" customHeight="false" outlineLevel="0" collapsed="false">
      <c r="A100" s="4" t="n">
        <v>4090230000</v>
      </c>
      <c r="B100" s="4" t="s">
        <v>106</v>
      </c>
      <c r="C100" s="5" t="str">
        <f aca="false">B100</f>
        <v>inne koszty refundowane dla cudzoziemców</v>
      </c>
      <c r="D100" s="6"/>
      <c r="E100" s="6"/>
    </row>
    <row r="101" customFormat="false" ht="14.25" hidden="false" customHeight="false" outlineLevel="0" collapsed="false">
      <c r="A101" s="4" t="n">
        <v>4090240000</v>
      </c>
      <c r="B101" s="4" t="s">
        <v>107</v>
      </c>
      <c r="C101" s="5" t="str">
        <f aca="false">B101</f>
        <v>koszty reklamy</v>
      </c>
      <c r="D101" s="6" t="s">
        <v>6</v>
      </c>
      <c r="E101" s="6" t="s">
        <v>7</v>
      </c>
    </row>
    <row r="102" customFormat="false" ht="14.25" hidden="false" customHeight="false" outlineLevel="0" collapsed="false">
      <c r="A102" s="4" t="n">
        <v>4090250000</v>
      </c>
      <c r="B102" s="4" t="s">
        <v>108</v>
      </c>
      <c r="C102" s="5" t="str">
        <f aca="false">B102</f>
        <v>stypendia dla młodych dokt. fin. z projektów</v>
      </c>
      <c r="D102" s="6" t="s">
        <v>56</v>
      </c>
      <c r="E102" s="6" t="s">
        <v>7</v>
      </c>
    </row>
    <row r="103" customFormat="false" ht="14.25" hidden="false" customHeight="false" outlineLevel="0" collapsed="false">
      <c r="A103" s="4" t="n">
        <v>4090260000</v>
      </c>
      <c r="B103" s="4" t="s">
        <v>109</v>
      </c>
      <c r="C103" s="5" t="str">
        <f aca="false">B103</f>
        <v>stypendia doktor. finansowane z dot. projakoś</v>
      </c>
      <c r="D103" s="6" t="s">
        <v>56</v>
      </c>
      <c r="E103" s="6" t="s">
        <v>7</v>
      </c>
    </row>
    <row r="104" customFormat="false" ht="14.25" hidden="false" customHeight="false" outlineLevel="0" collapsed="false">
      <c r="A104" s="4" t="n">
        <v>4160010000</v>
      </c>
      <c r="B104" s="4" t="s">
        <v>110</v>
      </c>
      <c r="C104" s="5" t="str">
        <f aca="false">B104</f>
        <v>koszty nab. aparatury specj.zalicz do ŚT</v>
      </c>
      <c r="D104" s="6" t="s">
        <v>111</v>
      </c>
      <c r="E104" s="6" t="s">
        <v>7</v>
      </c>
    </row>
    <row r="105" customFormat="false" ht="14.25" hidden="false" customHeight="false" outlineLevel="0" collapsed="false">
      <c r="A105" s="4" t="n">
        <v>4160020000</v>
      </c>
      <c r="B105" s="4" t="s">
        <v>112</v>
      </c>
      <c r="C105" s="5" t="str">
        <f aca="false">B105</f>
        <v>koszty nab. Aparat. specj.zalicz do ŚT nisk. war</v>
      </c>
      <c r="D105" s="6" t="s">
        <v>111</v>
      </c>
      <c r="E105" s="6" t="s">
        <v>7</v>
      </c>
    </row>
    <row r="106" customFormat="false" ht="14.25" hidden="false" customHeight="false" outlineLevel="0" collapsed="false">
      <c r="A106" s="4" t="n">
        <v>4160030000</v>
      </c>
      <c r="B106" s="4" t="s">
        <v>113</v>
      </c>
      <c r="C106" s="5" t="str">
        <f aca="false">B106</f>
        <v>koszty nab. WNIP w dział bad o wart pow. 3500</v>
      </c>
      <c r="D106" s="6" t="s">
        <v>111</v>
      </c>
      <c r="E106" s="6" t="s">
        <v>7</v>
      </c>
    </row>
    <row r="107" customFormat="false" ht="14.25" hidden="false" customHeight="false" outlineLevel="0" collapsed="false">
      <c r="A107" s="4" t="n">
        <v>4160040000</v>
      </c>
      <c r="B107" s="4" t="s">
        <v>114</v>
      </c>
      <c r="C107" s="5" t="str">
        <f aca="false">B107</f>
        <v>koszty nab. WNIP w dział bad o wart pon. 3500</v>
      </c>
      <c r="D107" s="6" t="s">
        <v>111</v>
      </c>
      <c r="E107" s="6" t="s">
        <v>7</v>
      </c>
    </row>
    <row r="108" customFormat="false" ht="14.25" hidden="false" customHeight="false" outlineLevel="0" collapsed="false">
      <c r="A108" s="4" t="n">
        <v>4160050000</v>
      </c>
      <c r="B108" s="4" t="s">
        <v>115</v>
      </c>
      <c r="C108" s="5" t="str">
        <f aca="false">B108</f>
        <v>koszty nabycia eksp. muzealnych</v>
      </c>
      <c r="D108" s="6"/>
      <c r="E108" s="6"/>
    </row>
    <row r="109" customFormat="false" ht="14.25" hidden="false" customHeight="false" outlineLevel="0" collapsed="false">
      <c r="A109" s="4" t="n">
        <v>4200200000</v>
      </c>
      <c r="B109" s="4" t="s">
        <v>116</v>
      </c>
      <c r="C109" s="5" t="str">
        <f aca="false">B109</f>
        <v>Koszty świadczeń wewn.</v>
      </c>
      <c r="D109" s="6" t="s">
        <v>6</v>
      </c>
      <c r="E109" s="6" t="s">
        <v>7</v>
      </c>
    </row>
    <row r="110" customFormat="false" ht="14.25" hidden="false" customHeight="false" outlineLevel="0" collapsed="false">
      <c r="A110" s="4" t="n">
        <v>4900000000</v>
      </c>
      <c r="B110" s="4" t="s">
        <v>117</v>
      </c>
      <c r="C110" s="5" t="str">
        <f aca="false">B110</f>
        <v>Rozliczenie kosztów</v>
      </c>
      <c r="D110" s="6"/>
      <c r="E110" s="6"/>
    </row>
    <row r="111" customFormat="false" ht="14.25" hidden="false" customHeight="false" outlineLevel="0" collapsed="false">
      <c r="A111" s="4" t="n">
        <v>4900800000</v>
      </c>
      <c r="B111" s="4" t="s">
        <v>118</v>
      </c>
      <c r="C111" s="5" t="str">
        <f aca="false">B111</f>
        <v>Rozliczenie projektów</v>
      </c>
      <c r="D111" s="6"/>
      <c r="E111" s="6"/>
    </row>
    <row r="112" customFormat="false" ht="14.25" hidden="false" customHeight="false" outlineLevel="0" collapsed="false">
      <c r="A112" s="4" t="n">
        <v>4900900000</v>
      </c>
      <c r="B112" s="4" t="s">
        <v>119</v>
      </c>
      <c r="C112" s="5" t="str">
        <f aca="false">B112</f>
        <v>Uzgodnienie księgowań  pomiędzy  DG</v>
      </c>
      <c r="D112" s="6"/>
      <c r="E112" s="6"/>
    </row>
    <row r="113" customFormat="false" ht="14.25" hidden="false" customHeight="false" outlineLevel="0" collapsed="false">
      <c r="A113" s="4" t="n">
        <v>4900905500</v>
      </c>
      <c r="B113" s="4" t="s">
        <v>120</v>
      </c>
      <c r="C113" s="5" t="str">
        <f aca="false">B113</f>
        <v>Narzutów kosztów wydziałowych</v>
      </c>
      <c r="D113" s="5" t="s">
        <v>121</v>
      </c>
      <c r="E113" s="5" t="s">
        <v>121</v>
      </c>
    </row>
    <row r="114" customFormat="false" ht="14.25" hidden="false" customHeight="false" outlineLevel="0" collapsed="false">
      <c r="A114" s="4" t="n">
        <v>4900905510</v>
      </c>
      <c r="B114" s="4" t="s">
        <v>122</v>
      </c>
      <c r="C114" s="5" t="str">
        <f aca="false">B114</f>
        <v>Narzutów kosztów ogólnouczelnianych</v>
      </c>
      <c r="D114" s="5" t="s">
        <v>121</v>
      </c>
      <c r="E114" s="5" t="s">
        <v>121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2026-02-05T15:19:49Z</dcterms:created>
  <dc:creator>Marek Karny</dc:creator>
  <dc:description/>
  <dc:language>pl-PL</dc:language>
  <cp:lastModifiedBy>Artur Kalinowski</cp:lastModifiedBy>
  <dcterms:modified xsi:type="dcterms:W3CDTF">2026-02-24T13:02:04Z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